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Respostas" state="visible" r:id="rId5"/>
    <sheet sheetId="3" name="Base" state="visible" r:id="rId6"/>
    <sheet sheetId="4" name="Fila" state="visible" r:id="rId7"/>
    <sheet sheetId="5" name="Painel" state="visible" r:id="rId8"/>
  </sheets>
  <calcPr calcId="171027"/>
</workbook>
</file>

<file path=xl/sharedStrings.xml><?xml version="1.0" encoding="utf-8"?>
<sst xmlns="http://schemas.openxmlformats.org/spreadsheetml/2006/main" count="191" uniqueCount="109">
  <si>
    <t>Papel</t>
  </si>
  <si>
    <t>Pontos</t>
  </si>
  <si>
    <t>Tamanho</t>
  </si>
  <si>
    <t>Setor</t>
  </si>
  <si>
    <t>Trava</t>
  </si>
  <si>
    <t>Problema</t>
  </si>
  <si>
    <t>Condição</t>
  </si>
  <si>
    <t>Origem</t>
  </si>
  <si>
    <t>Tier</t>
  </si>
  <si>
    <t>Min</t>
  </si>
  <si>
    <t>Ação</t>
  </si>
  <si>
    <t>Cadência (Dias)</t>
  </si>
  <si>
    <t>Dono ou sócio</t>
  </si>
  <si>
    <t>5 a 20</t>
  </si>
  <si>
    <t>Tecnologia</t>
  </si>
  <si>
    <t>Conhecem, mas escolhem o concorrente mais barato</t>
  </si>
  <si>
    <t>Reconhecimento</t>
  </si>
  <si>
    <t>Preenchido com 3 palavras ou mais</t>
  </si>
  <si>
    <t>indicacao</t>
  </si>
  <si>
    <t>A</t>
  </si>
  <si>
    <t>Toque privado personalizado, ancorado na trava declarada</t>
  </si>
  <si>
    <t>CEO ou diretor</t>
  </si>
  <si>
    <t>Mais de 20</t>
  </si>
  <si>
    <t>Indústria</t>
  </si>
  <si>
    <t>Vendemos, mas depende de mim estar na sala</t>
  </si>
  <si>
    <t>Receita</t>
  </si>
  <si>
    <t>Vazio ou menos de 3 palavras</t>
  </si>
  <si>
    <t>pipe</t>
  </si>
  <si>
    <t>B</t>
  </si>
  <si>
    <t>Fica na base. Toque só quando uma edição bater exatamente na trava dele</t>
  </si>
  <si>
    <t>Gestão ou coordenação</t>
  </si>
  <si>
    <t>2 a 4</t>
  </si>
  <si>
    <t>Franquia</t>
  </si>
  <si>
    <t>Pouca gente conhece a marca</t>
  </si>
  <si>
    <t>Alcance</t>
  </si>
  <si>
    <t>evento</t>
  </si>
  <si>
    <t>C</t>
  </si>
  <si>
    <t>Só conteúdo. Sem toque comercial</t>
  </si>
  <si>
    <t>Outro</t>
  </si>
  <si>
    <t>Só eu</t>
  </si>
  <si>
    <t>Serviço B2B</t>
  </si>
  <si>
    <t>O time não fala a mesma língua da marca</t>
  </si>
  <si>
    <t>Cultura</t>
  </si>
  <si>
    <t>linkedin</t>
  </si>
  <si>
    <t>Produto ou varejo premium</t>
  </si>
  <si>
    <t>instagram</t>
  </si>
  <si>
    <t>direto</t>
  </si>
  <si>
    <t>timestamp</t>
  </si>
  <si>
    <t>nome</t>
  </si>
  <si>
    <t>empresa</t>
  </si>
  <si>
    <t>whatsapp</t>
  </si>
  <si>
    <t>papel</t>
  </si>
  <si>
    <t>tamanho_time</t>
  </si>
  <si>
    <t>setor</t>
  </si>
  <si>
    <t>setor_outro</t>
  </si>
  <si>
    <t>trava</t>
  </si>
  <si>
    <t>noventa_dias</t>
  </si>
  <si>
    <t>origem</t>
  </si>
  <si>
    <t>26/08/2026 15:00:00</t>
  </si>
  <si>
    <t>Carlos Silva</t>
  </si>
  <si>
    <t>Tech Solutions</t>
  </si>
  <si>
    <t>(11) 99999-1111</t>
  </si>
  <si>
    <t/>
  </si>
  <si>
    <t>Quero estruturar meu posicionamento e atrair clientes maiores.</t>
  </si>
  <si>
    <t>26/08/2026 15:05:00</t>
  </si>
  <si>
    <t>Ana Sousa</t>
  </si>
  <si>
    <t>Indústria Alfa</t>
  </si>
  <si>
    <t>(11) 99999-2222</t>
  </si>
  <si>
    <t>Melhorar a percepção de valor dos nossos produtos.</t>
  </si>
  <si>
    <t>26/08/2026 15:10:00</t>
  </si>
  <si>
    <t>Roberto Lima</t>
  </si>
  <si>
    <t>Lima Consultoria</t>
  </si>
  <si>
    <t>(11) 99999-3333</t>
  </si>
  <si>
    <t>26/08/2026 15:15:00</t>
  </si>
  <si>
    <t>Juliana Costa</t>
  </si>
  <si>
    <t>Juliana Solo</t>
  </si>
  <si>
    <t>(11) 99999-4444</t>
  </si>
  <si>
    <t>Artesanato Premium</t>
  </si>
  <si>
    <t>26/08/2026 15:20:00</t>
  </si>
  <si>
    <t>Marcos Oliveira</t>
  </si>
  <si>
    <t>Metalúrgica Beta</t>
  </si>
  <si>
    <t>(11) 99999-5555</t>
  </si>
  <si>
    <t>Aumentar leads qualificados</t>
  </si>
  <si>
    <t>26/08/2026 15:25:00</t>
  </si>
  <si>
    <t>Marcos Oliveira (Respondeu)</t>
  </si>
  <si>
    <t>problema</t>
  </si>
  <si>
    <t>pontuacao</t>
  </si>
  <si>
    <t>tier_calculado</t>
  </si>
  <si>
    <t>tier_manual</t>
  </si>
  <si>
    <t>tier_final</t>
  </si>
  <si>
    <t>jornada_pessoal</t>
  </si>
  <si>
    <t>respondeu</t>
  </si>
  <si>
    <t>prioridade</t>
  </si>
  <si>
    <t>acao</t>
  </si>
  <si>
    <t>data_entrada</t>
  </si>
  <si>
    <t>ultimo_toque</t>
  </si>
  <si>
    <t>proximo_toque</t>
  </si>
  <si>
    <t>notas</t>
  </si>
  <si>
    <t>NÃO</t>
  </si>
  <si>
    <t>SIM</t>
  </si>
  <si>
    <t>Métrica</t>
  </si>
  <si>
    <t>Total</t>
  </si>
  <si>
    <t>Total de Leads no Período</t>
  </si>
  <si>
    <t>Distribuição por Tier</t>
  </si>
  <si>
    <t>Tier A</t>
  </si>
  <si>
    <t>Tier B</t>
  </si>
  <si>
    <t>Tier C</t>
  </si>
  <si>
    <t>Distribuição por Trava</t>
  </si>
  <si>
    <t>Contatos que Responderam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</si>
</sst>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Inter"/>
    </font>
    <font>
      <b/>
      <color rgb="FFF5F1EB"/>
      <sz val="10"/>
      <name val="Inter"/>
    </font>
    <font>
      <b/>
      <color rgb="FFFFFFFF"/>
      <sz val="11"/>
      <name val="Inter"/>
    </font>
    <font>
      <b/>
      <color rgb="FF1A1A1A"/>
      <sz val="11"/>
      <name val="Inter"/>
    </font>
  </fonts>
  <fills count="5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E05A1C"/>
      </patternFill>
    </fill>
    <fill>
      <patternFill patternType="solid">
        <fgColor rgb="FFF5F1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workbookViewId="0"/>
  </sheetViews>
  <sheetFormatPr defaultRowHeight="15" outlineLevelRow="0" outlineLevelCol="0" x14ac:dyDescent="55"/>
  <cols>
    <col min="1" max="1" width="25" customWidth="1"/>
    <col min="4" max="4" width="15" customWidth="1"/>
    <col min="7" max="7" width="25" customWidth="1"/>
    <col min="10" max="10" width="45" customWidth="1"/>
    <col min="12" max="12" width="18" customWidth="1"/>
    <col min="14" max="14" width="35" customWidth="1"/>
    <col min="17" max="17" width="15" customWidth="1"/>
    <col min="20" max="20" width="8" customWidth="1"/>
    <col min="22" max="22" width="50" customWidth="1"/>
    <col min="23" max="23" width="15" customWidth="1"/>
  </cols>
  <sheetData>
    <row r="1" spans="1:23" x14ac:dyDescent="0.25">
      <c r="A1" s="1" t="s">
        <v>0</v>
      </c>
      <c r="B1" s="1" t="s">
        <v>1</v>
      </c>
      <c r="D1" s="1" t="s">
        <v>2</v>
      </c>
      <c r="E1" s="1" t="s">
        <v>1</v>
      </c>
      <c r="G1" s="1" t="s">
        <v>3</v>
      </c>
      <c r="H1" s="1" t="s">
        <v>1</v>
      </c>
      <c r="J1" s="1" t="s">
        <v>4</v>
      </c>
      <c r="K1" s="1" t="s">
        <v>1</v>
      </c>
      <c r="L1" s="1" t="s">
        <v>5</v>
      </c>
      <c r="N1" s="1" t="s">
        <v>6</v>
      </c>
      <c r="O1" s="1" t="s">
        <v>1</v>
      </c>
      <c r="Q1" s="1" t="s">
        <v>7</v>
      </c>
      <c r="R1" s="1" t="s">
        <v>1</v>
      </c>
      <c r="T1" s="1" t="s">
        <v>8</v>
      </c>
      <c r="U1" s="1" t="s">
        <v>9</v>
      </c>
      <c r="V1" s="1" t="s">
        <v>10</v>
      </c>
      <c r="W1" s="1" t="s">
        <v>11</v>
      </c>
    </row>
    <row r="2" spans="1:23" x14ac:dyDescent="0.25">
      <c r="A2" t="s">
        <v>12</v>
      </c>
      <c r="B2">
        <v>40</v>
      </c>
      <c r="D2" t="s">
        <v>13</v>
      </c>
      <c r="E2">
        <v>30</v>
      </c>
      <c r="G2" t="s">
        <v>14</v>
      </c>
      <c r="H2">
        <v>15</v>
      </c>
      <c r="J2" t="s">
        <v>15</v>
      </c>
      <c r="K2">
        <v>15</v>
      </c>
      <c r="L2" t="s">
        <v>16</v>
      </c>
      <c r="N2" t="s">
        <v>17</v>
      </c>
      <c r="O2">
        <v>10</v>
      </c>
      <c r="Q2" t="s">
        <v>18</v>
      </c>
      <c r="R2">
        <v>10</v>
      </c>
      <c r="T2" t="s">
        <v>19</v>
      </c>
      <c r="U2">
        <v>85</v>
      </c>
      <c r="V2" t="s">
        <v>20</v>
      </c>
      <c r="W2">
        <v>14</v>
      </c>
    </row>
    <row r="3" spans="1:23" x14ac:dyDescent="0.25">
      <c r="A3" t="s">
        <v>21</v>
      </c>
      <c r="B3">
        <v>30</v>
      </c>
      <c r="D3" t="s">
        <v>22</v>
      </c>
      <c r="E3">
        <v>20</v>
      </c>
      <c r="G3" t="s">
        <v>23</v>
      </c>
      <c r="H3">
        <v>15</v>
      </c>
      <c r="J3" t="s">
        <v>24</v>
      </c>
      <c r="K3">
        <v>12</v>
      </c>
      <c r="L3" t="s">
        <v>25</v>
      </c>
      <c r="N3" t="s">
        <v>26</v>
      </c>
      <c r="O3">
        <v>0</v>
      </c>
      <c r="Q3" t="s">
        <v>27</v>
      </c>
      <c r="R3">
        <v>10</v>
      </c>
      <c r="T3" t="s">
        <v>28</v>
      </c>
      <c r="U3">
        <v>60</v>
      </c>
      <c r="V3" t="s">
        <v>29</v>
      </c>
      <c r="W3">
        <v>21</v>
      </c>
    </row>
    <row r="4" spans="1:23" x14ac:dyDescent="0.25">
      <c r="A4" t="s">
        <v>30</v>
      </c>
      <c r="B4">
        <v>0</v>
      </c>
      <c r="D4" t="s">
        <v>31</v>
      </c>
      <c r="E4">
        <v>10</v>
      </c>
      <c r="G4" t="s">
        <v>32</v>
      </c>
      <c r="H4">
        <v>15</v>
      </c>
      <c r="J4" t="s">
        <v>33</v>
      </c>
      <c r="K4">
        <v>10</v>
      </c>
      <c r="L4" t="s">
        <v>34</v>
      </c>
      <c r="Q4" t="s">
        <v>35</v>
      </c>
      <c r="R4">
        <v>8</v>
      </c>
      <c r="T4" t="s">
        <v>36</v>
      </c>
      <c r="U4">
        <v>0</v>
      </c>
      <c r="V4" t="s">
        <v>37</v>
      </c>
      <c r="W4">
        <v>9999</v>
      </c>
    </row>
    <row r="5" spans="1:18" x14ac:dyDescent="0.25">
      <c r="A5" t="s">
        <v>38</v>
      </c>
      <c r="B5">
        <v>0</v>
      </c>
      <c r="D5" t="s">
        <v>39</v>
      </c>
      <c r="E5">
        <v>0</v>
      </c>
      <c r="G5" t="s">
        <v>40</v>
      </c>
      <c r="H5">
        <v>15</v>
      </c>
      <c r="J5" t="s">
        <v>41</v>
      </c>
      <c r="K5">
        <v>8</v>
      </c>
      <c r="L5" t="s">
        <v>42</v>
      </c>
      <c r="Q5" t="s">
        <v>43</v>
      </c>
      <c r="R5">
        <v>5</v>
      </c>
    </row>
    <row r="6" spans="7:18" x14ac:dyDescent="0.25">
      <c r="G6" t="s">
        <v>44</v>
      </c>
      <c r="H6">
        <v>15</v>
      </c>
      <c r="Q6" t="s">
        <v>45</v>
      </c>
      <c r="R6">
        <v>3</v>
      </c>
    </row>
    <row r="7" spans="7:18" x14ac:dyDescent="0.25">
      <c r="G7" t="s">
        <v>38</v>
      </c>
      <c r="H7">
        <v>5</v>
      </c>
      <c r="Q7" t="s">
        <v>46</v>
      </c>
      <c r="R7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5" customWidth="1"/>
    <col min="3" max="3" width="20" customWidth="1"/>
    <col min="4" max="4" width="16" customWidth="1"/>
    <col min="5" max="5" width="25" customWidth="1"/>
    <col min="6" max="7" width="15" customWidth="1"/>
    <col min="8" max="8" width="20" customWidth="1"/>
    <col min="9" max="9" width="45" customWidth="1"/>
    <col min="10" max="10" width="40" customWidth="1"/>
    <col min="11" max="11" width="12" customWidth="1"/>
  </cols>
  <sheetData>
    <row r="1" spans="1:11" x14ac:dyDescent="0.25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</row>
    <row r="2" spans="1:11" x14ac:dyDescent="0.25">
      <c r="A2" t="s">
        <v>58</v>
      </c>
      <c r="B2" t="s">
        <v>59</v>
      </c>
      <c r="C2" t="s">
        <v>60</v>
      </c>
      <c r="D2" t="s">
        <v>61</v>
      </c>
      <c r="E2" t="s">
        <v>12</v>
      </c>
      <c r="F2" t="s">
        <v>13</v>
      </c>
      <c r="G2" t="s">
        <v>14</v>
      </c>
      <c r="H2" t="s">
        <v>62</v>
      </c>
      <c r="I2" t="s">
        <v>15</v>
      </c>
      <c r="J2" t="s">
        <v>63</v>
      </c>
      <c r="K2" t="s">
        <v>18</v>
      </c>
    </row>
    <row r="3" spans="1:11" x14ac:dyDescent="0.25">
      <c r="A3" t="s">
        <v>64</v>
      </c>
      <c r="B3" t="s">
        <v>65</v>
      </c>
      <c r="C3" t="s">
        <v>66</v>
      </c>
      <c r="D3" t="s">
        <v>67</v>
      </c>
      <c r="E3" t="s">
        <v>21</v>
      </c>
      <c r="F3" t="s">
        <v>22</v>
      </c>
      <c r="G3" t="s">
        <v>23</v>
      </c>
      <c r="H3" t="s">
        <v>62</v>
      </c>
      <c r="I3" t="s">
        <v>15</v>
      </c>
      <c r="J3" t="s">
        <v>68</v>
      </c>
      <c r="K3" t="s">
        <v>35</v>
      </c>
    </row>
    <row r="4" spans="1:11" x14ac:dyDescent="0.25">
      <c r="A4" t="s">
        <v>69</v>
      </c>
      <c r="B4" t="s">
        <v>70</v>
      </c>
      <c r="C4" t="s">
        <v>71</v>
      </c>
      <c r="D4" t="s">
        <v>72</v>
      </c>
      <c r="E4" t="s">
        <v>12</v>
      </c>
      <c r="F4" t="s">
        <v>31</v>
      </c>
      <c r="G4" t="s">
        <v>14</v>
      </c>
      <c r="H4" t="s">
        <v>62</v>
      </c>
      <c r="I4" t="s">
        <v>33</v>
      </c>
      <c r="J4" t="s">
        <v>62</v>
      </c>
      <c r="K4" t="s">
        <v>45</v>
      </c>
    </row>
    <row r="5" spans="1:11" x14ac:dyDescent="0.25">
      <c r="A5" t="s">
        <v>73</v>
      </c>
      <c r="B5" t="s">
        <v>74</v>
      </c>
      <c r="C5" t="s">
        <v>75</v>
      </c>
      <c r="D5" t="s">
        <v>76</v>
      </c>
      <c r="E5" t="s">
        <v>12</v>
      </c>
      <c r="F5" t="s">
        <v>39</v>
      </c>
      <c r="G5" t="s">
        <v>38</v>
      </c>
      <c r="H5" t="s">
        <v>77</v>
      </c>
      <c r="I5" t="s">
        <v>41</v>
      </c>
      <c r="J5" t="s">
        <v>62</v>
      </c>
      <c r="K5" t="s">
        <v>45</v>
      </c>
    </row>
    <row r="6" spans="1:11" x14ac:dyDescent="0.25">
      <c r="A6" t="s">
        <v>78</v>
      </c>
      <c r="B6" t="s">
        <v>79</v>
      </c>
      <c r="C6" t="s">
        <v>80</v>
      </c>
      <c r="D6" t="s">
        <v>81</v>
      </c>
      <c r="E6" t="s">
        <v>30</v>
      </c>
      <c r="F6" t="s">
        <v>13</v>
      </c>
      <c r="G6" t="s">
        <v>23</v>
      </c>
      <c r="H6" t="s">
        <v>62</v>
      </c>
      <c r="I6" t="s">
        <v>15</v>
      </c>
      <c r="J6" t="s">
        <v>82</v>
      </c>
      <c r="K6" t="s">
        <v>18</v>
      </c>
    </row>
    <row r="7" spans="1:11" x14ac:dyDescent="0.25">
      <c r="A7" t="s">
        <v>83</v>
      </c>
      <c r="B7" t="s">
        <v>84</v>
      </c>
      <c r="C7" t="s">
        <v>80</v>
      </c>
      <c r="D7" t="s">
        <v>81</v>
      </c>
      <c r="E7" t="s">
        <v>30</v>
      </c>
      <c r="F7" t="s">
        <v>13</v>
      </c>
      <c r="G7" t="s">
        <v>23</v>
      </c>
      <c r="H7" t="s">
        <v>62</v>
      </c>
      <c r="I7" t="s">
        <v>15</v>
      </c>
      <c r="J7" t="s">
        <v>82</v>
      </c>
      <c r="K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16" customWidth="1"/>
    <col min="4" max="4" width="25" customWidth="1"/>
    <col min="5" max="5" width="15" customWidth="1"/>
    <col min="6" max="6" width="25" customWidth="1"/>
    <col min="7" max="7" width="18" customWidth="1"/>
    <col min="8" max="8" width="12" customWidth="1"/>
    <col min="9" max="10" width="15" customWidth="1"/>
    <col min="11" max="11" width="12" customWidth="1"/>
    <col min="12" max="12" width="16" customWidth="1"/>
    <col min="13" max="14" width="12" customWidth="1"/>
    <col min="15" max="15" width="45" customWidth="1"/>
    <col min="16" max="16" width="12" customWidth="1"/>
    <col min="17" max="17" width="18" customWidth="1"/>
    <col min="18" max="19" width="15" customWidth="1"/>
    <col min="20" max="20" width="40" customWidth="1"/>
  </cols>
  <sheetData>
    <row r="1" spans="1:20" x14ac:dyDescent="0.25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85</v>
      </c>
      <c r="H1" s="3" t="s">
        <v>86</v>
      </c>
      <c r="I1" s="3" t="s">
        <v>87</v>
      </c>
      <c r="J1" s="3" t="s">
        <v>88</v>
      </c>
      <c r="K1" s="3" t="s">
        <v>89</v>
      </c>
      <c r="L1" s="3" t="s">
        <v>90</v>
      </c>
      <c r="M1" s="3" t="s">
        <v>91</v>
      </c>
      <c r="N1" s="3" t="s">
        <v>92</v>
      </c>
      <c r="O1" s="3" t="s">
        <v>93</v>
      </c>
      <c r="P1" s="3" t="s">
        <v>57</v>
      </c>
      <c r="Q1" s="3" t="s">
        <v>94</v>
      </c>
      <c r="R1" s="3" t="s">
        <v>95</v>
      </c>
      <c r="S1" s="3" t="s">
        <v>96</v>
      </c>
      <c r="T1" s="3" t="s">
        <v>97</v>
      </c>
    </row>
    <row r="2" spans="1:20" x14ac:dyDescent="0.25">
      <c r="A2">
        <f>Respostas!B2</f>
      </c>
      <c r="B2">
        <f>Respostas!C2</f>
      </c>
      <c r="C2">
        <f>Respostas!D2</f>
      </c>
      <c r="D2">
        <f>Respostas!E2</f>
      </c>
      <c r="E2">
        <f>Respostas!F2</f>
      </c>
      <c r="F2">
        <f>IF(Respostas!G2="Outro", CONCATENATE("Outro (", Respostas!H2, ")"), Respostas!G2)</f>
      </c>
      <c r="G2">
        <f>IFERROR(VLOOKUP(Respostas!I2, Config!$J$2:$L$5, 3, FALSE), "")</f>
      </c>
      <c r="H2">
        <f>IFERROR(VLOOKUP(D2, Config!$A$2:$B$5, 2, FALSE), 0) + IFERROR(VLOOKUP(E2, Config!$D$2:$E$5, 2, FALSE), 0) + IFERROR(VLOOKUP(Respostas!G2, Config!$G$2:$H$7, 2, FALSE), 5) + IFERROR(VLOOKUP(Respostas!I2, Config!$J$2:$K$5, 2, FALSE), 0) + IF(LEN(TRIM(Respostas!J2))=0, 0, IF((LEN(TRIM(Respostas!J2))-LEN(SUBSTITUTE(TRIM(Respostas!J2)," ","")))+1&gt;=3, 10, 0)) + IFERROR(VLOOKUP(P2, Config!$Q$2:$R$7, 2, FALSE), 3)</f>
      </c>
      <c r="I2">
        <f>IF(OR(D2="Gestão ou coordenação", D2="Outro"), "C", IF(H2&gt;=Config!$U$2, "A", IF(H2&gt;=Config!$U$3, "B", "C")))</f>
      </c>
      <c r="J2" t="s">
        <v>62</v>
      </c>
      <c r="K2">
        <f>IF(NOT(ISBLANK(J2)), J2, IF(M2="SIM", IF(I2="C", "B", "A"), I2))</f>
      </c>
      <c r="L2">
        <f>AND(E2="Só eu", D2="Dono ou sócio")</f>
      </c>
      <c r="M2" t="s">
        <v>98</v>
      </c>
      <c r="N2">
        <f>AND(K2="A", M2="SIM")</f>
      </c>
      <c r="O2">
        <f>IFERROR(VLOOKUP(K2, Config!$T$2:$W$4, 3, FALSE), "")</f>
      </c>
      <c r="P2">
        <f>Respostas!K2</f>
      </c>
      <c r="Q2">
        <f>Respostas!A2</f>
      </c>
      <c r="R2" t="s">
        <v>62</v>
      </c>
      <c r="S2">
        <f>IF(OR(ISBLANK(R2), K2="C"), "", R2 + VLOOKUP(K2, Config!$T$2:$W$4, 4, FALSE))</f>
      </c>
      <c r="T2">
        <f>Respostas!J2</f>
      </c>
    </row>
    <row r="3" spans="1:20" x14ac:dyDescent="0.25">
      <c r="A3">
        <f>Respostas!B3</f>
      </c>
      <c r="B3">
        <f>Respostas!C3</f>
      </c>
      <c r="C3">
        <f>Respostas!D3</f>
      </c>
      <c r="D3">
        <f>Respostas!E3</f>
      </c>
      <c r="E3">
        <f>Respostas!F3</f>
      </c>
      <c r="F3">
        <f>IF(Respostas!G3="Outro", CONCATENATE("Outro (", Respostas!H3, ")"), Respostas!G3)</f>
      </c>
      <c r="G3">
        <f>IFERROR(VLOOKUP(Respostas!I3, Config!$J$2:$L$5, 3, FALSE), "")</f>
      </c>
      <c r="H3">
        <f>IFERROR(VLOOKUP(D3, Config!$A$2:$B$5, 2, FALSE), 0) + IFERROR(VLOOKUP(E3, Config!$D$2:$E$5, 2, FALSE), 0) + IFERROR(VLOOKUP(Respostas!G3, Config!$G$2:$H$7, 2, FALSE), 5) + IFERROR(VLOOKUP(Respostas!I3, Config!$J$2:$K$5, 2, FALSE), 0) + IF(LEN(TRIM(Respostas!J3))=0, 0, IF((LEN(TRIM(Respostas!J3))-LEN(SUBSTITUTE(TRIM(Respostas!J3)," ","")))+1&gt;=3, 10, 0)) + IFERROR(VLOOKUP(P3, Config!$Q$2:$R$7, 2, FALSE), 3)</f>
      </c>
      <c r="I3">
        <f>IF(OR(D3="Gestão ou coordenação", D3="Outro"), "C", IF(H3&gt;=Config!$U$2, "A", IF(H3&gt;=Config!$U$3, "B", "C")))</f>
      </c>
      <c r="J3" t="s">
        <v>62</v>
      </c>
      <c r="K3">
        <f>IF(NOT(ISBLANK(J3)), J3, IF(M3="SIM", IF(I3="C", "B", "A"), I3))</f>
      </c>
      <c r="L3">
        <f>AND(E3="Só eu", D3="Dono ou sócio")</f>
      </c>
      <c r="M3" t="s">
        <v>98</v>
      </c>
      <c r="N3">
        <f>AND(K3="A", M3="SIM")</f>
      </c>
      <c r="O3">
        <f>IFERROR(VLOOKUP(K3, Config!$T$2:$W$4, 3, FALSE), "")</f>
      </c>
      <c r="P3">
        <f>Respostas!K3</f>
      </c>
      <c r="Q3">
        <f>Respostas!A3</f>
      </c>
      <c r="R3" t="s">
        <v>62</v>
      </c>
      <c r="S3">
        <f>IF(OR(ISBLANK(R3), K3="C"), "", R3 + VLOOKUP(K3, Config!$T$2:$W$4, 4, FALSE))</f>
      </c>
      <c r="T3">
        <f>Respostas!J3</f>
      </c>
    </row>
    <row r="4" spans="1:20" x14ac:dyDescent="0.25">
      <c r="A4">
        <f>Respostas!B4</f>
      </c>
      <c r="B4">
        <f>Respostas!C4</f>
      </c>
      <c r="C4">
        <f>Respostas!D4</f>
      </c>
      <c r="D4">
        <f>Respostas!E4</f>
      </c>
      <c r="E4">
        <f>Respostas!F4</f>
      </c>
      <c r="F4">
        <f>IF(Respostas!G4="Outro", CONCATENATE("Outro (", Respostas!H4, ")"), Respostas!G4)</f>
      </c>
      <c r="G4">
        <f>IFERROR(VLOOKUP(Respostas!I4, Config!$J$2:$L$5, 3, FALSE), "")</f>
      </c>
      <c r="H4">
        <f>IFERROR(VLOOKUP(D4, Config!$A$2:$B$5, 2, FALSE), 0) + IFERROR(VLOOKUP(E4, Config!$D$2:$E$5, 2, FALSE), 0) + IFERROR(VLOOKUP(Respostas!G4, Config!$G$2:$H$7, 2, FALSE), 5) + IFERROR(VLOOKUP(Respostas!I4, Config!$J$2:$K$5, 2, FALSE), 0) + IF(LEN(TRIM(Respostas!J4))=0, 0, IF((LEN(TRIM(Respostas!J4))-LEN(SUBSTITUTE(TRIM(Respostas!J4)," ","")))+1&gt;=3, 10, 0)) + IFERROR(VLOOKUP(P4, Config!$Q$2:$R$7, 2, FALSE), 3)</f>
      </c>
      <c r="I4">
        <f>IF(OR(D4="Gestão ou coordenação", D4="Outro"), "C", IF(H4&gt;=Config!$U$2, "A", IF(H4&gt;=Config!$U$3, "B", "C")))</f>
      </c>
      <c r="J4" t="s">
        <v>62</v>
      </c>
      <c r="K4">
        <f>IF(NOT(ISBLANK(J4)), J4, IF(M4="SIM", IF(I4="C", "B", "A"), I4))</f>
      </c>
      <c r="L4">
        <f>AND(E4="Só eu", D4="Dono ou sócio")</f>
      </c>
      <c r="M4" t="s">
        <v>98</v>
      </c>
      <c r="N4">
        <f>AND(K4="A", M4="SIM")</f>
      </c>
      <c r="O4">
        <f>IFERROR(VLOOKUP(K4, Config!$T$2:$W$4, 3, FALSE), "")</f>
      </c>
      <c r="P4">
        <f>Respostas!K4</f>
      </c>
      <c r="Q4">
        <f>Respostas!A4</f>
      </c>
      <c r="R4" t="s">
        <v>62</v>
      </c>
      <c r="S4">
        <f>IF(OR(ISBLANK(R4), K4="C"), "", R4 + VLOOKUP(K4, Config!$T$2:$W$4, 4, FALSE))</f>
      </c>
      <c r="T4">
        <f>Respostas!J4</f>
      </c>
    </row>
    <row r="5" spans="1:20" x14ac:dyDescent="0.25">
      <c r="A5">
        <f>Respostas!B5</f>
      </c>
      <c r="B5">
        <f>Respostas!C5</f>
      </c>
      <c r="C5">
        <f>Respostas!D5</f>
      </c>
      <c r="D5">
        <f>Respostas!E5</f>
      </c>
      <c r="E5">
        <f>Respostas!F5</f>
      </c>
      <c r="F5">
        <f>IF(Respostas!G5="Outro", CONCATENATE("Outro (", Respostas!H5, ")"), Respostas!G5)</f>
      </c>
      <c r="G5">
        <f>IFERROR(VLOOKUP(Respostas!I5, Config!$J$2:$L$5, 3, FALSE), "")</f>
      </c>
      <c r="H5">
        <f>IFERROR(VLOOKUP(D5, Config!$A$2:$B$5, 2, FALSE), 0) + IFERROR(VLOOKUP(E5, Config!$D$2:$E$5, 2, FALSE), 0) + IFERROR(VLOOKUP(Respostas!G5, Config!$G$2:$H$7, 2, FALSE), 5) + IFERROR(VLOOKUP(Respostas!I5, Config!$J$2:$K$5, 2, FALSE), 0) + IF(LEN(TRIM(Respostas!J5))=0, 0, IF((LEN(TRIM(Respostas!J5))-LEN(SUBSTITUTE(TRIM(Respostas!J5)," ","")))+1&gt;=3, 10, 0)) + IFERROR(VLOOKUP(P5, Config!$Q$2:$R$7, 2, FALSE), 3)</f>
      </c>
      <c r="I5">
        <f>IF(OR(D5="Gestão ou coordenação", D5="Outro"), "C", IF(H5&gt;=Config!$U$2, "A", IF(H5&gt;=Config!$U$3, "B", "C")))</f>
      </c>
      <c r="J5" t="s">
        <v>62</v>
      </c>
      <c r="K5">
        <f>IF(NOT(ISBLANK(J5)), J5, IF(M5="SIM", IF(I5="C", "B", "A"), I5))</f>
      </c>
      <c r="L5">
        <f>AND(E5="Só eu", D5="Dono ou sócio")</f>
      </c>
      <c r="M5" t="s">
        <v>98</v>
      </c>
      <c r="N5">
        <f>AND(K5="A", M5="SIM")</f>
      </c>
      <c r="O5">
        <f>IFERROR(VLOOKUP(K5, Config!$T$2:$W$4, 3, FALSE), "")</f>
      </c>
      <c r="P5">
        <f>Respostas!K5</f>
      </c>
      <c r="Q5">
        <f>Respostas!A5</f>
      </c>
      <c r="R5" t="s">
        <v>62</v>
      </c>
      <c r="S5">
        <f>IF(OR(ISBLANK(R5), K5="C"), "", R5 + VLOOKUP(K5, Config!$T$2:$W$4, 4, FALSE))</f>
      </c>
      <c r="T5">
        <f>Respostas!J5</f>
      </c>
    </row>
    <row r="6" spans="1:20" x14ac:dyDescent="0.25">
      <c r="A6">
        <f>Respostas!B6</f>
      </c>
      <c r="B6">
        <f>Respostas!C6</f>
      </c>
      <c r="C6">
        <f>Respostas!D6</f>
      </c>
      <c r="D6">
        <f>Respostas!E6</f>
      </c>
      <c r="E6">
        <f>Respostas!F6</f>
      </c>
      <c r="F6">
        <f>IF(Respostas!G6="Outro", CONCATENATE("Outro (", Respostas!H6, ")"), Respostas!G6)</f>
      </c>
      <c r="G6">
        <f>IFERROR(VLOOKUP(Respostas!I6, Config!$J$2:$L$5, 3, FALSE), "")</f>
      </c>
      <c r="H6">
        <f>IFERROR(VLOOKUP(D6, Config!$A$2:$B$5, 2, FALSE), 0) + IFERROR(VLOOKUP(E6, Config!$D$2:$E$5, 2, FALSE), 0) + IFERROR(VLOOKUP(Respostas!G6, Config!$G$2:$H$7, 2, FALSE), 5) + IFERROR(VLOOKUP(Respostas!I6, Config!$J$2:$K$5, 2, FALSE), 0) + IF(LEN(TRIM(Respostas!J6))=0, 0, IF((LEN(TRIM(Respostas!J6))-LEN(SUBSTITUTE(TRIM(Respostas!J6)," ","")))+1&gt;=3, 10, 0)) + IFERROR(VLOOKUP(P6, Config!$Q$2:$R$7, 2, FALSE), 3)</f>
      </c>
      <c r="I6">
        <f>IF(OR(D6="Gestão ou coordenação", D6="Outro"), "C", IF(H6&gt;=Config!$U$2, "A", IF(H6&gt;=Config!$U$3, "B", "C")))</f>
      </c>
      <c r="J6" t="s">
        <v>62</v>
      </c>
      <c r="K6">
        <f>IF(NOT(ISBLANK(J6)), J6, IF(M6="SIM", IF(I6="C", "B", "A"), I6))</f>
      </c>
      <c r="L6">
        <f>AND(E6="Só eu", D6="Dono ou sócio")</f>
      </c>
      <c r="M6" t="s">
        <v>98</v>
      </c>
      <c r="N6">
        <f>AND(K6="A", M6="SIM")</f>
      </c>
      <c r="O6">
        <f>IFERROR(VLOOKUP(K6, Config!$T$2:$W$4, 3, FALSE), "")</f>
      </c>
      <c r="P6">
        <f>Respostas!K6</f>
      </c>
      <c r="Q6">
        <f>Respostas!A6</f>
      </c>
      <c r="R6" t="s">
        <v>62</v>
      </c>
      <c r="S6">
        <f>IF(OR(ISBLANK(R6), K6="C"), "", R6 + VLOOKUP(K6, Config!$T$2:$W$4, 4, FALSE))</f>
      </c>
      <c r="T6">
        <f>Respostas!J6</f>
      </c>
    </row>
    <row r="7" spans="1:20" x14ac:dyDescent="0.25">
      <c r="A7">
        <f>Respostas!B7</f>
      </c>
      <c r="B7">
        <f>Respostas!C7</f>
      </c>
      <c r="C7">
        <f>Respostas!D7</f>
      </c>
      <c r="D7">
        <f>Respostas!E7</f>
      </c>
      <c r="E7">
        <f>Respostas!F7</f>
      </c>
      <c r="F7">
        <f>IF(Respostas!G7="Outro", CONCATENATE("Outro (", Respostas!H7, ")"), Respostas!G7)</f>
      </c>
      <c r="G7">
        <f>IFERROR(VLOOKUP(Respostas!I7, Config!$J$2:$L$5, 3, FALSE), "")</f>
      </c>
      <c r="H7">
        <f>IFERROR(VLOOKUP(D7, Config!$A$2:$B$5, 2, FALSE), 0) + IFERROR(VLOOKUP(E7, Config!$D$2:$E$5, 2, FALSE), 0) + IFERROR(VLOOKUP(Respostas!G7, Config!$G$2:$H$7, 2, FALSE), 5) + IFERROR(VLOOKUP(Respostas!I7, Config!$J$2:$K$5, 2, FALSE), 0) + IF(LEN(TRIM(Respostas!J7))=0, 0, IF((LEN(TRIM(Respostas!J7))-LEN(SUBSTITUTE(TRIM(Respostas!J7)," ","")))+1&gt;=3, 10, 0)) + IFERROR(VLOOKUP(P7, Config!$Q$2:$R$7, 2, FALSE), 3)</f>
      </c>
      <c r="I7">
        <f>IF(OR(D7="Gestão ou coordenação", D7="Outro"), "C", IF(H7&gt;=Config!$U$2, "A", IF(H7&gt;=Config!$U$3, "B", "C")))</f>
      </c>
      <c r="J7" t="s">
        <v>62</v>
      </c>
      <c r="K7">
        <f>IF(NOT(ISBLANK(J7)), J7, IF(M7="SIM", IF(I7="C", "B", "A"), I7))</f>
      </c>
      <c r="L7">
        <f>AND(E7="Só eu", D7="Dono ou sócio")</f>
      </c>
      <c r="M7" t="s">
        <v>99</v>
      </c>
      <c r="N7">
        <f>AND(K7="A", M7="SIM")</f>
      </c>
      <c r="O7">
        <f>IFERROR(VLOOKUP(K7, Config!$T$2:$W$4, 3, FALSE), "")</f>
      </c>
      <c r="P7">
        <f>Respostas!K7</f>
      </c>
      <c r="Q7">
        <f>Respostas!A7</f>
      </c>
      <c r="R7" t="s">
        <v>62</v>
      </c>
      <c r="S7">
        <f>IF(OR(ISBLANK(R7), K7="C"), "", R7 + VLOOKUP(K7, Config!$T$2:$W$4, 4, FALSE))</f>
      </c>
      <c r="T7">
        <f>Respostas!J7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16" customWidth="1"/>
    <col min="4" max="4" width="12" customWidth="1"/>
    <col min="5" max="5" width="18" customWidth="1"/>
    <col min="6" max="6" width="45" customWidth="1"/>
    <col min="7" max="7" width="12" customWidth="1"/>
    <col min="8" max="9" width="15" customWidth="1"/>
    <col min="10" max="10" width="40" customWidth="1"/>
  </cols>
  <sheetData>
    <row r="1" spans="1:10" x14ac:dyDescent="0.25">
      <c r="A1" s="2" t="s">
        <v>48</v>
      </c>
      <c r="B1" s="2" t="s">
        <v>49</v>
      </c>
      <c r="C1" s="2" t="s">
        <v>50</v>
      </c>
      <c r="D1" s="2" t="s">
        <v>89</v>
      </c>
      <c r="E1" s="2" t="s">
        <v>85</v>
      </c>
      <c r="F1" s="2" t="s">
        <v>93</v>
      </c>
      <c r="G1" s="2" t="s">
        <v>92</v>
      </c>
      <c r="H1" s="2" t="s">
        <v>95</v>
      </c>
      <c r="I1" s="2" t="s">
        <v>96</v>
      </c>
      <c r="J1" s="2" t="s">
        <v>97</v>
      </c>
    </row>
    <row r="2" spans="1:1" x14ac:dyDescent="0.25">
      <c r="A2">
        <f>IFERROR(SORT(FILTER(CHOOSECOLS(Base!A2:T100, 1, 2, 3, 11, 7, 15, 14, 18, 19, 20), (Base!S2:S100&lt;=TODAY())*(Base!S2:S100&lt;&gt;"")), 4, 1, 7, -1), "Sem contatos pendentes para hoje.")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</cols>
  <sheetData>
    <row r="1" spans="1:2" x14ac:dyDescent="0.25">
      <c r="A1" s="4" t="s">
        <v>100</v>
      </c>
      <c r="B1" s="4" t="s">
        <v>101</v>
      </c>
    </row>
    <row r="2" spans="1:2" x14ac:dyDescent="0.25">
      <c r="A2" t="s">
        <v>102</v>
      </c>
      <c r="B2">
        <f>COUNTA(Base!A2:A100)</f>
      </c>
    </row>
    <row r="4" spans="1:1" x14ac:dyDescent="0.25">
      <c r="A4" s="5" t="s">
        <v>103</v>
      </c>
    </row>
    <row r="5" spans="1:2" x14ac:dyDescent="0.25">
      <c r="A5" t="s">
        <v>104</v>
      </c>
      <c r="B5">
        <f>COUNTIF(Base!K2:K100, "A")</f>
      </c>
    </row>
    <row r="6" spans="1:2" x14ac:dyDescent="0.25">
      <c r="A6" t="s">
        <v>105</v>
      </c>
      <c r="B6">
        <f>COUNTIF(Base!K2:K100, "B")</f>
      </c>
    </row>
    <row r="7" spans="1:2" x14ac:dyDescent="0.25">
      <c r="A7" t="s">
        <v>106</v>
      </c>
      <c r="B7">
        <f>COUNTIF(Base!K2:K100, "C")</f>
      </c>
    </row>
    <row r="9" spans="1:1" x14ac:dyDescent="0.25">
      <c r="A9" s="5" t="s">
        <v>107</v>
      </c>
    </row>
    <row r="10" spans="1:2" x14ac:dyDescent="0.25">
      <c r="A10" t="s">
        <v>16</v>
      </c>
      <c r="B10">
        <f>COUNTIF(Base!G2:G100, "Reconhecimento")</f>
      </c>
    </row>
    <row r="11" spans="1:2" x14ac:dyDescent="0.25">
      <c r="A11" t="s">
        <v>25</v>
      </c>
      <c r="B11">
        <f>COUNTIF(Base!G2:G100, "Receita")</f>
      </c>
    </row>
    <row r="12" spans="1:2" x14ac:dyDescent="0.25">
      <c r="A12" t="s">
        <v>34</v>
      </c>
      <c r="B12">
        <f>COUNTIF(Base!G2:G100, "Alcance")</f>
      </c>
    </row>
    <row r="13" spans="1:2" x14ac:dyDescent="0.25">
      <c r="A13" t="s">
        <v>42</v>
      </c>
      <c r="B13">
        <f>COUNTIF(Base!G2:G100, "Cultura")</f>
      </c>
    </row>
    <row r="15" spans="1:2" x14ac:dyDescent="0.25">
      <c r="A15" t="s">
        <v>108</v>
      </c>
      <c r="B15">
        <f>COUNTIF(Base!M2:M100, "SIM")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Respostas</vt:lpstr>
      <vt:lpstr>Base</vt:lpstr>
      <vt:lpstr>Fila</vt:lpstr>
      <vt:lpstr>Painel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Legado Branding</dc:creator>
  <dc:title/>
  <dc:subject/>
  <dc:description/>
  <cp:keywords/>
  <cp:category/>
  <cp:lastModifiedBy>Legado Branding</cp:lastModifiedBy>
  <dcterms:created xsi:type="dcterms:W3CDTF">2026-08-27T19:46:43Z</dcterms:created>
  <dcterms:modified xsi:type="dcterms:W3CDTF">2026-08-27T19:46:43Z</dcterms:modified>
</cp:coreProperties>
</file>